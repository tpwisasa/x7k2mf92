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<sst xmlns="http://schemas.openxmlformats.org/spreadsheetml/2006/main" uniqueCount="34">
  <si>
    <t>Table 1</t>
  </si>
  <si>
    <t>YRM</t>
  </si>
  <si>
    <t>Cash</t>
  </si>
  <si>
    <t>Thai Stock</t>
  </si>
  <si>
    <t>Jitta</t>
  </si>
  <si>
    <t>Crypto</t>
  </si>
  <si>
    <t>Tax saving fund</t>
  </si>
  <si>
    <t>Non tax saving fund</t>
  </si>
  <si>
    <t>Company stock</t>
  </si>
  <si>
    <t>Providence fund</t>
  </si>
  <si>
    <t>Gold</t>
  </si>
  <si>
    <t>Summary</t>
  </si>
  <si>
    <t>UOB</t>
  </si>
  <si>
    <t>KBANK</t>
  </si>
  <si>
    <t>KBANK Travel</t>
  </si>
  <si>
    <t>CIMB</t>
  </si>
  <si>
    <t>SCB</t>
  </si>
  <si>
    <t>SCB Home</t>
  </si>
  <si>
    <t>BAY</t>
  </si>
  <si>
    <t>TISCO</t>
  </si>
  <si>
    <t>Vietnam</t>
  </si>
  <si>
    <t>World</t>
  </si>
  <si>
    <t>Thematic</t>
  </si>
  <si>
    <t>Bitkub</t>
  </si>
  <si>
    <t>InnovestX</t>
  </si>
  <si>
    <t>Share plan</t>
  </si>
  <si>
    <t>LTI</t>
  </si>
  <si>
    <t>Pao</t>
  </si>
  <si>
    <t>Toon</t>
  </si>
  <si>
    <t>Physical</t>
  </si>
  <si>
    <t>Investment</t>
  </si>
  <si>
    <t>Total</t>
  </si>
  <si>
    <t>Change</t>
  </si>
  <si>
    <t>Change%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</si>
</sst>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%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3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2" borderId="4" applyNumberFormat="1" applyFont="1" applyFill="1" applyBorder="1" applyAlignment="1" applyProtection="0">
      <alignment vertical="center" wrapText="1"/>
    </xf>
    <xf numFmtId="49" fontId="3" fillId="2" borderId="4" applyNumberFormat="1" applyFont="1" applyFill="1" applyBorder="1" applyAlignment="1" applyProtection="0">
      <alignment horizontal="center" vertical="center" wrapText="1"/>
    </xf>
    <xf numFmtId="0" fontId="3" fillId="3" borderId="4" applyNumberFormat="0" applyFont="1" applyFill="1" applyBorder="1" applyAlignment="1" applyProtection="0">
      <alignment vertical="top" wrapText="1"/>
    </xf>
    <xf numFmtId="0" fontId="3" fillId="2" borderId="5" applyNumberFormat="0" applyFont="1" applyFill="1" applyBorder="1" applyAlignment="1" applyProtection="0">
      <alignment vertical="center" wrapText="1"/>
    </xf>
    <xf numFmtId="49" fontId="3" fillId="2" borderId="6" applyNumberFormat="1" applyFont="1" applyFill="1" applyBorder="1" applyAlignment="1" applyProtection="0">
      <alignment vertical="center" wrapText="1"/>
    </xf>
    <xf numFmtId="49" fontId="3" fillId="2" borderId="7" applyNumberFormat="1" applyFont="1" applyFill="1" applyBorder="1" applyAlignment="1" applyProtection="0">
      <alignment vertical="center" wrapText="1"/>
    </xf>
    <xf numFmtId="0" fontId="3" fillId="2" borderId="8" applyNumberFormat="1" applyFont="1" applyFill="1" applyBorder="1" applyAlignment="1" applyProtection="0">
      <alignment vertical="center" wrapText="1"/>
    </xf>
    <xf numFmtId="3" fontId="3" fillId="2" borderId="9" applyNumberFormat="1" applyFont="1" applyFill="1" applyBorder="1" applyAlignment="1" applyProtection="0">
      <alignment vertical="center" wrapText="1"/>
    </xf>
    <xf numFmtId="3" fontId="3" fillId="2" borderId="10" applyNumberFormat="1" applyFont="1" applyFill="1" applyBorder="1" applyAlignment="1" applyProtection="0">
      <alignment vertical="center" wrapText="1"/>
    </xf>
    <xf numFmtId="59" fontId="3" fillId="2" borderId="10" applyNumberFormat="1" applyFont="1" applyFill="1" applyBorder="1" applyAlignment="1" applyProtection="0">
      <alignment vertical="center" wrapText="1"/>
    </xf>
    <xf numFmtId="0" fontId="3" fillId="4" borderId="8" applyNumberFormat="0" applyFont="1" applyFill="1" applyBorder="1" applyAlignment="1" applyProtection="0">
      <alignment vertical="top" wrapText="1"/>
    </xf>
    <xf numFmtId="3" fontId="3" fillId="2" borderId="9" applyNumberFormat="1" applyFont="1" applyFill="1" applyBorder="1" applyAlignment="1" applyProtection="0">
      <alignment vertical="top" wrapText="1"/>
    </xf>
    <xf numFmtId="3" fontId="3" fillId="2" borderId="10" applyNumberFormat="1" applyFont="1" applyFill="1" applyBorder="1" applyAlignment="1" applyProtection="0">
      <alignment vertical="top" wrapText="1"/>
    </xf>
    <xf numFmtId="59" fontId="3" fillId="2" borderId="10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3f3f3f"/>
      <rgbColor rgb="ffbdc0b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B25"/>
  <sheetViews>
    <sheetView workbookViewId="0" showGridLines="0" defaultGridColor="1"/>
  </sheetViews>
  <sheetFormatPr defaultColWidth="16.3333" defaultRowHeight="19.45" customHeight="1" outlineLevelRow="0" outlineLevelCol="0"/>
  <cols>
    <col min="1" max="28" width="16.3516" style="1" customWidth="1"/>
    <col min="29" max="16384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"/>
    </row>
    <row r="2" ht="26.25" customHeight="1">
      <c r="A2" t="s" s="5">
        <v>1</v>
      </c>
      <c r="B2" t="s" s="6">
        <v>2</v>
      </c>
      <c r="C2" s="7"/>
      <c r="D2" s="7"/>
      <c r="E2" s="7"/>
      <c r="F2" s="7"/>
      <c r="G2" s="7"/>
      <c r="H2" s="7"/>
      <c r="I2" t="s" s="6">
        <v>3</v>
      </c>
      <c r="J2" s="7"/>
      <c r="K2" t="s" s="6">
        <v>4</v>
      </c>
      <c r="L2" s="7"/>
      <c r="M2" s="7"/>
      <c r="N2" t="s" s="5">
        <v>5</v>
      </c>
      <c r="O2" t="s" s="6">
        <v>6</v>
      </c>
      <c r="P2" s="7"/>
      <c r="Q2" t="s" s="5">
        <v>7</v>
      </c>
      <c r="R2" t="s" s="5">
        <v>8</v>
      </c>
      <c r="S2" s="7"/>
      <c r="T2" t="s" s="5">
        <v>9</v>
      </c>
      <c r="U2" s="7"/>
      <c r="V2" t="s" s="5">
        <v>10</v>
      </c>
      <c r="W2" t="s" s="6">
        <v>11</v>
      </c>
      <c r="X2" s="7"/>
      <c r="Y2" s="7"/>
      <c r="Z2" s="7"/>
      <c r="AA2" s="7"/>
      <c r="AB2" s="7"/>
    </row>
    <row r="3" ht="17.1" customHeight="1">
      <c r="A3" s="8"/>
      <c r="B3" t="s" s="9">
        <v>12</v>
      </c>
      <c r="C3" t="s" s="10">
        <v>13</v>
      </c>
      <c r="D3" t="s" s="10">
        <v>14</v>
      </c>
      <c r="E3" t="s" s="10">
        <v>15</v>
      </c>
      <c r="F3" t="s" s="10">
        <v>16</v>
      </c>
      <c r="G3" t="s" s="10">
        <v>17</v>
      </c>
      <c r="H3" t="s" s="10">
        <v>18</v>
      </c>
      <c r="I3" t="s" s="10">
        <v>18</v>
      </c>
      <c r="J3" t="s" s="10">
        <v>19</v>
      </c>
      <c r="K3" t="s" s="10">
        <v>20</v>
      </c>
      <c r="L3" t="s" s="10">
        <v>21</v>
      </c>
      <c r="M3" t="s" s="10">
        <v>22</v>
      </c>
      <c r="N3" t="s" s="10">
        <v>23</v>
      </c>
      <c r="O3" t="s" s="10">
        <v>12</v>
      </c>
      <c r="P3" t="s" s="10">
        <v>24</v>
      </c>
      <c r="Q3" t="s" s="10">
        <v>24</v>
      </c>
      <c r="R3" t="s" s="10">
        <v>25</v>
      </c>
      <c r="S3" t="s" s="10">
        <v>26</v>
      </c>
      <c r="T3" t="s" s="10">
        <v>27</v>
      </c>
      <c r="U3" t="s" s="10">
        <v>28</v>
      </c>
      <c r="V3" t="s" s="10">
        <v>29</v>
      </c>
      <c r="W3" t="s" s="10">
        <v>10</v>
      </c>
      <c r="X3" t="s" s="10">
        <v>2</v>
      </c>
      <c r="Y3" t="s" s="10">
        <v>30</v>
      </c>
      <c r="Z3" t="s" s="10">
        <v>31</v>
      </c>
      <c r="AA3" t="s" s="10">
        <v>32</v>
      </c>
      <c r="AB3" t="s" s="10">
        <v>33</v>
      </c>
    </row>
    <row r="4" ht="16.9" customHeight="1">
      <c r="A4" s="11">
        <v>202106</v>
      </c>
      <c r="B4" s="12">
        <v>383520</v>
      </c>
      <c r="C4" s="13">
        <v>108026</v>
      </c>
      <c r="D4" s="13">
        <v>0</v>
      </c>
      <c r="E4" s="13">
        <v>57097</v>
      </c>
      <c r="F4" s="13">
        <v>226619</v>
      </c>
      <c r="G4" s="13">
        <v>0</v>
      </c>
      <c r="H4" s="13">
        <v>0</v>
      </c>
      <c r="I4" s="13">
        <v>437118</v>
      </c>
      <c r="J4" s="13">
        <v>736931</v>
      </c>
      <c r="K4" s="13">
        <v>1713595</v>
      </c>
      <c r="L4" s="13">
        <v>0</v>
      </c>
      <c r="M4" s="13">
        <v>0</v>
      </c>
      <c r="N4" s="13">
        <v>64711</v>
      </c>
      <c r="O4" s="13">
        <v>891842</v>
      </c>
      <c r="P4" s="13">
        <v>0</v>
      </c>
      <c r="Q4" s="13">
        <v>0</v>
      </c>
      <c r="R4" s="13">
        <v>639243</v>
      </c>
      <c r="S4" s="13">
        <v>0</v>
      </c>
      <c r="T4" s="13">
        <v>0</v>
      </c>
      <c r="U4" s="13">
        <v>0</v>
      </c>
      <c r="V4" s="13">
        <v>0</v>
      </c>
      <c r="W4" s="13" cm="1">
        <f t="array" ref="W4">V4</f>
        <v>0</v>
      </c>
      <c r="X4" s="13" cm="1">
        <f t="array" ref="X4">SUM(B4:H4)</f>
        <v>775262</v>
      </c>
      <c r="Y4" s="13" cm="1">
        <f t="array" ref="Y4">SUM(I4:V4)</f>
        <v>4483440</v>
      </c>
      <c r="Z4" s="13" cm="1">
        <f t="array" ref="Z4">X4+Y4</f>
        <v>5258702</v>
      </c>
      <c r="AA4" s="13">
        <v>0</v>
      </c>
      <c r="AB4" s="14">
        <v>0</v>
      </c>
    </row>
    <row r="5" ht="16.9" customHeight="1">
      <c r="A5" s="11">
        <v>202109</v>
      </c>
      <c r="B5" s="12">
        <v>351276</v>
      </c>
      <c r="C5" s="13">
        <v>86424</v>
      </c>
      <c r="D5" s="13">
        <v>0</v>
      </c>
      <c r="E5" s="13">
        <v>66244</v>
      </c>
      <c r="F5" s="13">
        <v>254900</v>
      </c>
      <c r="G5" s="13">
        <v>0</v>
      </c>
      <c r="H5" s="13">
        <v>0</v>
      </c>
      <c r="I5" s="13">
        <v>465174</v>
      </c>
      <c r="J5" s="13">
        <v>887691</v>
      </c>
      <c r="K5" s="13">
        <v>1762492</v>
      </c>
      <c r="L5" s="13">
        <v>0</v>
      </c>
      <c r="M5" s="13">
        <v>0</v>
      </c>
      <c r="N5" s="13">
        <v>103481</v>
      </c>
      <c r="O5" s="13">
        <v>890276</v>
      </c>
      <c r="P5" s="13">
        <v>0</v>
      </c>
      <c r="Q5" s="13">
        <v>0</v>
      </c>
      <c r="R5" s="13">
        <v>639243</v>
      </c>
      <c r="S5" s="13">
        <v>0</v>
      </c>
      <c r="T5" s="13">
        <v>0</v>
      </c>
      <c r="U5" s="13">
        <v>0</v>
      </c>
      <c r="V5" s="13">
        <v>0</v>
      </c>
      <c r="W5" s="13" cm="1">
        <f t="array" ref="W5">V5</f>
        <v>0</v>
      </c>
      <c r="X5" s="13" cm="1">
        <f t="array" ref="X5">SUM(B5:H5)</f>
        <v>758844</v>
      </c>
      <c r="Y5" s="13" cm="1">
        <f t="array" ref="Y5">SUM(I5:V5)</f>
        <v>4748357</v>
      </c>
      <c r="Z5" s="13" cm="1">
        <f t="array" ref="Z5">X5+Y5</f>
        <v>5507201</v>
      </c>
      <c r="AA5" s="13" cm="1">
        <f t="array" ref="AA5">Z5-Z4</f>
        <v>248499</v>
      </c>
      <c r="AB5" s="14" cm="1">
        <f t="array" ref="AB5">AA5/Z4</f>
        <v>0.0472548168730611</v>
      </c>
    </row>
    <row r="6" ht="16.9" customHeight="1">
      <c r="A6" s="11">
        <v>202112</v>
      </c>
      <c r="B6" s="12">
        <v>182435</v>
      </c>
      <c r="C6" s="13">
        <v>22772</v>
      </c>
      <c r="D6" s="13">
        <v>0</v>
      </c>
      <c r="E6" s="13">
        <v>10000</v>
      </c>
      <c r="F6" s="13">
        <v>280641</v>
      </c>
      <c r="G6" s="13">
        <v>0</v>
      </c>
      <c r="H6" s="13">
        <v>0</v>
      </c>
      <c r="I6" s="13">
        <v>509056</v>
      </c>
      <c r="J6" s="13">
        <v>1210084</v>
      </c>
      <c r="K6" s="13">
        <v>1957530</v>
      </c>
      <c r="L6" s="13">
        <v>0</v>
      </c>
      <c r="M6" s="13">
        <v>0</v>
      </c>
      <c r="N6" s="13">
        <v>162167</v>
      </c>
      <c r="O6" s="13">
        <v>1079515</v>
      </c>
      <c r="P6" s="13">
        <v>0</v>
      </c>
      <c r="Q6" s="13">
        <v>0</v>
      </c>
      <c r="R6" s="13">
        <v>639243</v>
      </c>
      <c r="S6" s="13">
        <v>0</v>
      </c>
      <c r="T6" s="13">
        <v>0</v>
      </c>
      <c r="U6" s="13">
        <v>0</v>
      </c>
      <c r="V6" s="13">
        <v>0</v>
      </c>
      <c r="W6" s="13" cm="1">
        <f t="array" ref="W6">V6</f>
        <v>0</v>
      </c>
      <c r="X6" s="13" cm="1">
        <f t="array" ref="X6">SUM(B6:H6)</f>
        <v>495848</v>
      </c>
      <c r="Y6" s="13" cm="1">
        <f t="array" ref="Y6">SUM(I6:V6)</f>
        <v>5557595</v>
      </c>
      <c r="Z6" s="13" cm="1">
        <f t="array" ref="Z6">X6+Y6</f>
        <v>6053443</v>
      </c>
      <c r="AA6" s="13" cm="1">
        <f t="array" ref="AA6">Z6-Z5</f>
        <v>546242</v>
      </c>
      <c r="AB6" s="14" cm="1">
        <f t="array" ref="AB6">AA6/Z5</f>
        <v>0.0991868646159819</v>
      </c>
    </row>
    <row r="7" ht="16.9" customHeight="1">
      <c r="A7" s="11">
        <v>202203</v>
      </c>
      <c r="B7" s="12">
        <v>481351</v>
      </c>
      <c r="C7" s="13">
        <v>41756</v>
      </c>
      <c r="D7" s="13">
        <v>0</v>
      </c>
      <c r="E7" s="13">
        <v>1907</v>
      </c>
      <c r="F7" s="13">
        <v>320641</v>
      </c>
      <c r="G7" s="13">
        <v>0</v>
      </c>
      <c r="H7" s="13">
        <v>0</v>
      </c>
      <c r="I7" s="13">
        <v>566248</v>
      </c>
      <c r="J7" s="13">
        <v>1201225</v>
      </c>
      <c r="K7" s="13">
        <v>1899507</v>
      </c>
      <c r="L7" s="13">
        <v>0</v>
      </c>
      <c r="M7" s="13">
        <v>0</v>
      </c>
      <c r="N7" s="13">
        <v>142235</v>
      </c>
      <c r="O7" s="13">
        <v>1048770</v>
      </c>
      <c r="P7" s="13">
        <v>0</v>
      </c>
      <c r="Q7" s="13">
        <v>0</v>
      </c>
      <c r="R7" s="13">
        <v>639243</v>
      </c>
      <c r="S7" s="13">
        <v>0</v>
      </c>
      <c r="T7" s="13">
        <v>0</v>
      </c>
      <c r="U7" s="13">
        <v>0</v>
      </c>
      <c r="V7" s="13">
        <v>0</v>
      </c>
      <c r="W7" s="13" cm="1">
        <f t="array" ref="W7">V7</f>
        <v>0</v>
      </c>
      <c r="X7" s="13" cm="1">
        <f t="array" ref="X7">SUM(B7:H7)</f>
        <v>845655</v>
      </c>
      <c r="Y7" s="13" cm="1">
        <f t="array" ref="Y7">SUM(I7:V7)</f>
        <v>5497228</v>
      </c>
      <c r="Z7" s="13" cm="1">
        <f t="array" ref="Z7">X7+Y7</f>
        <v>6342883</v>
      </c>
      <c r="AA7" s="13" cm="1">
        <f t="array" ref="AA7">Z7-Z6</f>
        <v>289440</v>
      </c>
      <c r="AB7" s="14" cm="1">
        <f t="array" ref="AB7">AA7/Z6</f>
        <v>0.0478141117377334</v>
      </c>
    </row>
    <row r="8" ht="16.9" customHeight="1">
      <c r="A8" s="11">
        <v>202206</v>
      </c>
      <c r="B8" s="12">
        <v>429410</v>
      </c>
      <c r="C8" s="13">
        <v>15772</v>
      </c>
      <c r="D8" s="13">
        <v>0</v>
      </c>
      <c r="E8" s="13">
        <v>5431</v>
      </c>
      <c r="F8" s="13">
        <v>376405</v>
      </c>
      <c r="G8" s="13">
        <v>0</v>
      </c>
      <c r="H8" s="13">
        <v>0</v>
      </c>
      <c r="I8" s="13">
        <v>564380</v>
      </c>
      <c r="J8" s="13">
        <v>1266033</v>
      </c>
      <c r="K8" s="13">
        <v>1788998</v>
      </c>
      <c r="L8" s="13">
        <v>0</v>
      </c>
      <c r="M8" s="13">
        <v>0</v>
      </c>
      <c r="N8" s="13">
        <v>106587</v>
      </c>
      <c r="O8" s="13">
        <v>985912</v>
      </c>
      <c r="P8" s="13">
        <v>0</v>
      </c>
      <c r="Q8" s="13">
        <v>0</v>
      </c>
      <c r="R8" s="13">
        <v>639243</v>
      </c>
      <c r="S8" s="13">
        <v>0</v>
      </c>
      <c r="T8" s="13">
        <v>0</v>
      </c>
      <c r="U8" s="13">
        <v>0</v>
      </c>
      <c r="V8" s="13">
        <v>0</v>
      </c>
      <c r="W8" s="13" cm="1">
        <f t="array" ref="W8">V8</f>
        <v>0</v>
      </c>
      <c r="X8" s="13" cm="1">
        <f t="array" ref="X8">SUM(B8:H8)</f>
        <v>827018</v>
      </c>
      <c r="Y8" s="13" cm="1">
        <f t="array" ref="Y8">SUM(I8:V8)</f>
        <v>5351153</v>
      </c>
      <c r="Z8" s="13" cm="1">
        <f t="array" ref="Z8">X8+Y8</f>
        <v>6178171</v>
      </c>
      <c r="AA8" s="13" cm="1">
        <f t="array" ref="AA8">Z8-Z7</f>
        <v>-164712</v>
      </c>
      <c r="AB8" s="14" cm="1">
        <f t="array" ref="AB8">AA8/Z7</f>
        <v>-0.0259680022475584</v>
      </c>
    </row>
    <row r="9" ht="16.9" customHeight="1">
      <c r="A9" s="11">
        <v>202209</v>
      </c>
      <c r="B9" s="12">
        <v>523920</v>
      </c>
      <c r="C9" s="13">
        <v>25612</v>
      </c>
      <c r="D9" s="13">
        <v>0</v>
      </c>
      <c r="E9" s="13">
        <v>5431</v>
      </c>
      <c r="F9" s="13">
        <v>396405</v>
      </c>
      <c r="G9" s="13">
        <v>0</v>
      </c>
      <c r="H9" s="13">
        <v>0</v>
      </c>
      <c r="I9" s="13">
        <v>587391</v>
      </c>
      <c r="J9" s="13">
        <v>1297089</v>
      </c>
      <c r="K9" s="13">
        <v>1879453</v>
      </c>
      <c r="L9" s="13">
        <v>0</v>
      </c>
      <c r="M9" s="13">
        <v>0</v>
      </c>
      <c r="N9" s="13">
        <v>113927</v>
      </c>
      <c r="O9" s="13">
        <v>971334</v>
      </c>
      <c r="P9" s="13">
        <v>0</v>
      </c>
      <c r="Q9" s="13">
        <v>0</v>
      </c>
      <c r="R9" s="13">
        <v>639243</v>
      </c>
      <c r="S9" s="13">
        <v>0</v>
      </c>
      <c r="T9" s="13">
        <v>0</v>
      </c>
      <c r="U9" s="13">
        <v>0</v>
      </c>
      <c r="V9" s="13">
        <v>0</v>
      </c>
      <c r="W9" s="13" cm="1">
        <f t="array" ref="W9">V9</f>
        <v>0</v>
      </c>
      <c r="X9" s="13" cm="1">
        <f t="array" ref="X9">SUM(B9:H9)</f>
        <v>951368</v>
      </c>
      <c r="Y9" s="13" cm="1">
        <f t="array" ref="Y9">SUM(I9:V9)</f>
        <v>5488437</v>
      </c>
      <c r="Z9" s="13" cm="1">
        <f t="array" ref="Z9">X9+Y9</f>
        <v>6439805</v>
      </c>
      <c r="AA9" s="13" cm="1">
        <f t="array" ref="AA9">Z9-Z8</f>
        <v>261634</v>
      </c>
      <c r="AB9" s="14" cm="1">
        <f t="array" ref="AB9">AA9/Z8</f>
        <v>0.0423481318338388</v>
      </c>
    </row>
    <row r="10" ht="16.9" customHeight="1">
      <c r="A10" s="11">
        <v>202212</v>
      </c>
      <c r="B10" s="12">
        <v>423948</v>
      </c>
      <c r="C10" s="13">
        <v>1511</v>
      </c>
      <c r="D10" s="13">
        <v>0</v>
      </c>
      <c r="E10" s="13">
        <v>7197</v>
      </c>
      <c r="F10" s="13">
        <v>23135</v>
      </c>
      <c r="G10" s="13">
        <v>0</v>
      </c>
      <c r="H10" s="13">
        <v>420362</v>
      </c>
      <c r="I10" s="13">
        <v>611693</v>
      </c>
      <c r="J10" s="13">
        <v>1400000</v>
      </c>
      <c r="K10" s="13">
        <v>1879155</v>
      </c>
      <c r="L10" s="13">
        <v>0</v>
      </c>
      <c r="M10" s="13">
        <v>0</v>
      </c>
      <c r="N10" s="13">
        <v>104731</v>
      </c>
      <c r="O10" s="13">
        <v>1254308</v>
      </c>
      <c r="P10" s="13">
        <v>0</v>
      </c>
      <c r="Q10" s="13">
        <v>0</v>
      </c>
      <c r="R10" s="13">
        <v>639243</v>
      </c>
      <c r="S10" s="13">
        <v>0</v>
      </c>
      <c r="T10" s="13">
        <v>0</v>
      </c>
      <c r="U10" s="13">
        <v>0</v>
      </c>
      <c r="V10" s="13">
        <v>0</v>
      </c>
      <c r="W10" s="13" cm="1">
        <f t="array" ref="W10">V10</f>
        <v>0</v>
      </c>
      <c r="X10" s="13" cm="1">
        <f t="array" ref="X10">SUM(B10:H10)</f>
        <v>876153</v>
      </c>
      <c r="Y10" s="13" cm="1">
        <f t="array" ref="Y10">SUM(I10:V10)</f>
        <v>5889130</v>
      </c>
      <c r="Z10" s="13" cm="1">
        <f t="array" ref="Z10">X10+Y10</f>
        <v>6765283</v>
      </c>
      <c r="AA10" s="13" cm="1">
        <f t="array" ref="AA10">Z10-Z9</f>
        <v>325478</v>
      </c>
      <c r="AB10" s="14" cm="1">
        <f t="array" ref="AB10">AA10/Z9</f>
        <v>0.0505415924861079</v>
      </c>
    </row>
    <row r="11" ht="16.9" customHeight="1">
      <c r="A11" s="11">
        <v>202303</v>
      </c>
      <c r="B11" s="12">
        <v>753070</v>
      </c>
      <c r="C11" s="13">
        <v>46764</v>
      </c>
      <c r="D11" s="13">
        <v>0</v>
      </c>
      <c r="E11" s="13">
        <v>7472</v>
      </c>
      <c r="F11" s="13">
        <v>25425</v>
      </c>
      <c r="G11" s="13">
        <v>0</v>
      </c>
      <c r="H11" s="13">
        <v>541981</v>
      </c>
      <c r="I11" s="13">
        <v>585443</v>
      </c>
      <c r="J11" s="13">
        <v>1338758</v>
      </c>
      <c r="K11" s="13">
        <v>1749111</v>
      </c>
      <c r="L11" s="13">
        <v>0</v>
      </c>
      <c r="M11" s="13">
        <v>0</v>
      </c>
      <c r="N11" s="13">
        <v>120887</v>
      </c>
      <c r="O11" s="13">
        <v>1225736</v>
      </c>
      <c r="P11" s="13">
        <v>0</v>
      </c>
      <c r="Q11" s="13">
        <v>0</v>
      </c>
      <c r="R11" s="13">
        <v>639243</v>
      </c>
      <c r="S11" s="13">
        <v>0</v>
      </c>
      <c r="T11" s="13">
        <v>0</v>
      </c>
      <c r="U11" s="13">
        <v>0</v>
      </c>
      <c r="V11" s="13">
        <v>0</v>
      </c>
      <c r="W11" s="13" cm="1">
        <f t="array" ref="W11">V11</f>
        <v>0</v>
      </c>
      <c r="X11" s="13" cm="1">
        <f t="array" ref="X11">SUM(B11:H11)</f>
        <v>1374712</v>
      </c>
      <c r="Y11" s="13" cm="1">
        <f t="array" ref="Y11">SUM(I11:V11)</f>
        <v>5659178</v>
      </c>
      <c r="Z11" s="13" cm="1">
        <f t="array" ref="Z11">X11+Y11</f>
        <v>7033890</v>
      </c>
      <c r="AA11" s="13" cm="1">
        <f t="array" ref="AA11">Z11-Z10</f>
        <v>268607</v>
      </c>
      <c r="AB11" s="14" cm="1">
        <f t="array" ref="AB11">AA11/Z10</f>
        <v>0.0397037344927034</v>
      </c>
    </row>
    <row r="12" ht="16.9" customHeight="1">
      <c r="A12" s="11">
        <v>202306</v>
      </c>
      <c r="B12" s="12">
        <v>898800</v>
      </c>
      <c r="C12" s="13">
        <v>21957</v>
      </c>
      <c r="D12" s="13">
        <v>0</v>
      </c>
      <c r="E12" s="13">
        <v>12142</v>
      </c>
      <c r="F12" s="13">
        <v>61397</v>
      </c>
      <c r="G12" s="13">
        <v>0</v>
      </c>
      <c r="H12" s="13">
        <v>650024</v>
      </c>
      <c r="I12" s="13">
        <v>583598</v>
      </c>
      <c r="J12" s="13">
        <v>1389058</v>
      </c>
      <c r="K12" s="13">
        <v>1878725</v>
      </c>
      <c r="L12" s="13">
        <v>0</v>
      </c>
      <c r="M12" s="13">
        <v>0</v>
      </c>
      <c r="N12" s="13">
        <v>49049</v>
      </c>
      <c r="O12" s="13">
        <v>1232240</v>
      </c>
      <c r="P12" s="13">
        <v>0</v>
      </c>
      <c r="Q12" s="13">
        <v>0</v>
      </c>
      <c r="R12" s="13">
        <v>842582</v>
      </c>
      <c r="S12" s="13">
        <v>0</v>
      </c>
      <c r="T12" s="13">
        <v>0</v>
      </c>
      <c r="U12" s="13">
        <v>0</v>
      </c>
      <c r="V12" s="13">
        <v>0</v>
      </c>
      <c r="W12" s="13" cm="1">
        <f t="array" ref="W12">V12</f>
        <v>0</v>
      </c>
      <c r="X12" s="13" cm="1">
        <f t="array" ref="X12">SUM(B12:H12)</f>
        <v>1644320</v>
      </c>
      <c r="Y12" s="13" cm="1">
        <f t="array" ref="Y12">SUM(I12:V12)</f>
        <v>5975252</v>
      </c>
      <c r="Z12" s="13" cm="1">
        <f t="array" ref="Z12">X12+Y12</f>
        <v>7619572</v>
      </c>
      <c r="AA12" s="13" cm="1">
        <f t="array" ref="AA12">Z12-Z11</f>
        <v>585682</v>
      </c>
      <c r="AB12" s="14" cm="1">
        <f t="array" ref="AB12">AA12/Z11</f>
        <v>0.0832657320486957</v>
      </c>
    </row>
    <row r="13" ht="16.9" customHeight="1">
      <c r="A13" s="11">
        <v>202309</v>
      </c>
      <c r="B13" s="12">
        <v>1095444</v>
      </c>
      <c r="C13" s="13">
        <v>43347</v>
      </c>
      <c r="D13" s="13">
        <v>0</v>
      </c>
      <c r="E13" s="13">
        <v>14177</v>
      </c>
      <c r="F13" s="13">
        <v>66257</v>
      </c>
      <c r="G13" s="13">
        <v>0</v>
      </c>
      <c r="H13" s="13">
        <v>733415</v>
      </c>
      <c r="I13" s="13">
        <v>555731</v>
      </c>
      <c r="J13" s="13">
        <v>1340868</v>
      </c>
      <c r="K13" s="13">
        <v>1876581</v>
      </c>
      <c r="L13" s="13">
        <v>0</v>
      </c>
      <c r="M13" s="13">
        <v>0</v>
      </c>
      <c r="N13" s="13">
        <v>52113</v>
      </c>
      <c r="O13" s="13">
        <v>967563</v>
      </c>
      <c r="P13" s="13">
        <v>217656</v>
      </c>
      <c r="Q13" s="13">
        <v>0</v>
      </c>
      <c r="R13" s="13">
        <v>915934</v>
      </c>
      <c r="S13" s="13">
        <v>330938</v>
      </c>
      <c r="T13" s="13">
        <v>0</v>
      </c>
      <c r="U13" s="13">
        <v>0</v>
      </c>
      <c r="V13" s="13">
        <v>0</v>
      </c>
      <c r="W13" s="13" cm="1">
        <f t="array" ref="W13">V13</f>
        <v>0</v>
      </c>
      <c r="X13" s="13" cm="1">
        <f t="array" ref="X13">SUM(B13:H13)</f>
        <v>1952640</v>
      </c>
      <c r="Y13" s="13" cm="1">
        <f t="array" ref="Y13">SUM(I13:V13)</f>
        <v>6257384</v>
      </c>
      <c r="Z13" s="13" cm="1">
        <f t="array" ref="Z13">X13+Y13</f>
        <v>8210024</v>
      </c>
      <c r="AA13" s="13" cm="1">
        <f t="array" ref="AA13">Z13-Z12</f>
        <v>590452</v>
      </c>
      <c r="AB13" s="14" cm="1">
        <f t="array" ref="AB13">AA13/Z12</f>
        <v>0.0774914916480873</v>
      </c>
    </row>
    <row r="14" ht="16.9" customHeight="1">
      <c r="A14" s="11">
        <v>202312</v>
      </c>
      <c r="B14" s="12">
        <v>726589</v>
      </c>
      <c r="C14" s="13">
        <v>91667</v>
      </c>
      <c r="D14" s="13">
        <v>0</v>
      </c>
      <c r="E14" s="13">
        <v>14117</v>
      </c>
      <c r="F14" s="13">
        <v>76353</v>
      </c>
      <c r="G14" s="13">
        <v>0</v>
      </c>
      <c r="H14" s="13">
        <v>936432</v>
      </c>
      <c r="I14" s="13">
        <v>534608</v>
      </c>
      <c r="J14" s="13">
        <v>1275555</v>
      </c>
      <c r="K14" s="13">
        <v>1861175</v>
      </c>
      <c r="L14" s="13">
        <v>0</v>
      </c>
      <c r="M14" s="13">
        <v>0</v>
      </c>
      <c r="N14" s="13">
        <v>74919</v>
      </c>
      <c r="O14" s="13">
        <v>982947</v>
      </c>
      <c r="P14" s="13">
        <v>619613</v>
      </c>
      <c r="Q14" s="13">
        <v>0</v>
      </c>
      <c r="R14" s="13">
        <v>915934</v>
      </c>
      <c r="S14" s="13">
        <v>330938</v>
      </c>
      <c r="T14" s="13">
        <v>0</v>
      </c>
      <c r="U14" s="13">
        <v>0</v>
      </c>
      <c r="V14" s="13">
        <v>0</v>
      </c>
      <c r="W14" s="13" cm="1">
        <f t="array" ref="W14">V14</f>
        <v>0</v>
      </c>
      <c r="X14" s="13" cm="1">
        <f t="array" ref="X14">SUM(B14:H14)</f>
        <v>1845158</v>
      </c>
      <c r="Y14" s="13" cm="1">
        <f t="array" ref="Y14">SUM(I14:V14)</f>
        <v>6595689</v>
      </c>
      <c r="Z14" s="13" cm="1">
        <f t="array" ref="Z14">X14+Y14</f>
        <v>8440847</v>
      </c>
      <c r="AA14" s="13" cm="1">
        <f t="array" ref="AA14">Z14-Z13</f>
        <v>230823</v>
      </c>
      <c r="AB14" s="14" cm="1">
        <f t="array" ref="AB14">AA14/Z13</f>
        <v>0.028114777739992</v>
      </c>
    </row>
    <row r="15" ht="16.9" customHeight="1">
      <c r="A15" s="11">
        <v>202406</v>
      </c>
      <c r="B15" s="12">
        <v>1095193</v>
      </c>
      <c r="C15" s="13">
        <v>130148</v>
      </c>
      <c r="D15" s="13">
        <v>0</v>
      </c>
      <c r="E15" s="13">
        <v>22062</v>
      </c>
      <c r="F15" s="13">
        <v>98524</v>
      </c>
      <c r="G15" s="13">
        <v>0</v>
      </c>
      <c r="H15" s="13">
        <v>1102926</v>
      </c>
      <c r="I15" s="13">
        <v>508707</v>
      </c>
      <c r="J15" s="13">
        <v>1279891</v>
      </c>
      <c r="K15" s="13">
        <v>1847156</v>
      </c>
      <c r="L15" s="13">
        <v>0</v>
      </c>
      <c r="M15" s="13">
        <v>0</v>
      </c>
      <c r="N15" s="13">
        <v>123634</v>
      </c>
      <c r="O15" s="13">
        <v>991683</v>
      </c>
      <c r="P15" s="13">
        <v>711894</v>
      </c>
      <c r="Q15" s="13">
        <v>0</v>
      </c>
      <c r="R15" s="13">
        <v>915934</v>
      </c>
      <c r="S15" s="13">
        <v>330938</v>
      </c>
      <c r="T15" s="13">
        <v>0</v>
      </c>
      <c r="U15" s="13">
        <v>0</v>
      </c>
      <c r="V15" s="13">
        <v>0</v>
      </c>
      <c r="W15" s="13" cm="1">
        <f t="array" ref="W15">V15</f>
        <v>0</v>
      </c>
      <c r="X15" s="13" cm="1">
        <f t="array" ref="X15">SUM(B15:H15)</f>
        <v>2448853</v>
      </c>
      <c r="Y15" s="13" cm="1">
        <f t="array" ref="Y15">SUM(I15:V15)</f>
        <v>6709837</v>
      </c>
      <c r="Z15" s="13" cm="1">
        <f t="array" ref="Z15">X15+Y15</f>
        <v>9158690</v>
      </c>
      <c r="AA15" s="13" cm="1">
        <f t="array" ref="AA15">Z15-Z14</f>
        <v>717843</v>
      </c>
      <c r="AB15" s="14" cm="1">
        <f t="array" ref="AB15">AA15/Z14</f>
        <v>0.08504395352741261</v>
      </c>
    </row>
    <row r="16" ht="16.9" customHeight="1">
      <c r="A16" s="11">
        <v>202409</v>
      </c>
      <c r="B16" s="12">
        <v>1154274</v>
      </c>
      <c r="C16" s="13">
        <v>144827</v>
      </c>
      <c r="D16" s="13">
        <v>0</v>
      </c>
      <c r="E16" s="13">
        <v>22407</v>
      </c>
      <c r="F16" s="13">
        <v>102965</v>
      </c>
      <c r="G16" s="13">
        <v>0</v>
      </c>
      <c r="H16" s="13">
        <v>1167420</v>
      </c>
      <c r="I16" s="13">
        <v>572690</v>
      </c>
      <c r="J16" s="13">
        <v>1391851</v>
      </c>
      <c r="K16" s="13">
        <v>1800289</v>
      </c>
      <c r="L16" s="13">
        <v>0</v>
      </c>
      <c r="M16" s="13">
        <v>0</v>
      </c>
      <c r="N16" s="13">
        <v>91121</v>
      </c>
      <c r="O16" s="13">
        <v>1001426</v>
      </c>
      <c r="P16" s="13">
        <v>679230</v>
      </c>
      <c r="Q16" s="13">
        <v>0</v>
      </c>
      <c r="R16" s="13">
        <v>915934</v>
      </c>
      <c r="S16" s="13">
        <v>330938</v>
      </c>
      <c r="T16" s="13">
        <v>0</v>
      </c>
      <c r="U16" s="13">
        <v>0</v>
      </c>
      <c r="V16" s="13">
        <v>0</v>
      </c>
      <c r="W16" s="13" cm="1">
        <f t="array" ref="W16">V16</f>
        <v>0</v>
      </c>
      <c r="X16" s="13" cm="1">
        <f t="array" ref="X16">SUM(B16:H16)</f>
        <v>2591893</v>
      </c>
      <c r="Y16" s="13" cm="1">
        <f t="array" ref="Y16">SUM(I16:V16)</f>
        <v>6783479</v>
      </c>
      <c r="Z16" s="13" cm="1">
        <f t="array" ref="Z16">X16+Y16</f>
        <v>9375372</v>
      </c>
      <c r="AA16" s="13" cm="1">
        <f t="array" ref="AA16">Z16-Z15</f>
        <v>216682</v>
      </c>
      <c r="AB16" s="14" cm="1">
        <f t="array" ref="AB16">AA16/Z15</f>
        <v>0.0236586236677953</v>
      </c>
    </row>
    <row r="17" ht="16.9" customHeight="1">
      <c r="A17" s="11">
        <v>202501</v>
      </c>
      <c r="B17" s="12">
        <v>1042245</v>
      </c>
      <c r="C17" s="13">
        <v>97663</v>
      </c>
      <c r="D17" s="13">
        <v>0</v>
      </c>
      <c r="E17" s="13">
        <v>24540</v>
      </c>
      <c r="F17" s="13">
        <v>108111</v>
      </c>
      <c r="G17" s="13">
        <v>0</v>
      </c>
      <c r="H17" s="13">
        <v>1376156</v>
      </c>
      <c r="I17" s="13">
        <v>519729</v>
      </c>
      <c r="J17" s="13">
        <v>1313254</v>
      </c>
      <c r="K17" s="13">
        <v>1818089</v>
      </c>
      <c r="L17" s="13">
        <v>0</v>
      </c>
      <c r="M17" s="13">
        <v>0</v>
      </c>
      <c r="N17" s="13">
        <v>155764</v>
      </c>
      <c r="O17" s="13">
        <v>874262</v>
      </c>
      <c r="P17" s="13">
        <v>1165966</v>
      </c>
      <c r="Q17" s="13">
        <v>0</v>
      </c>
      <c r="R17" s="13">
        <v>915934</v>
      </c>
      <c r="S17" s="13">
        <v>330938</v>
      </c>
      <c r="T17" s="13">
        <v>0</v>
      </c>
      <c r="U17" s="13">
        <v>0</v>
      </c>
      <c r="V17" s="13">
        <v>0</v>
      </c>
      <c r="W17" s="13" cm="1">
        <f t="array" ref="W17">V17</f>
        <v>0</v>
      </c>
      <c r="X17" s="13" cm="1">
        <f t="array" ref="X17">SUM(B17:H17)</f>
        <v>2648715</v>
      </c>
      <c r="Y17" s="13" cm="1">
        <f t="array" ref="Y17">SUM(I17:V17)</f>
        <v>7093936</v>
      </c>
      <c r="Z17" s="13" cm="1">
        <f t="array" ref="Z17">X17+Y17</f>
        <v>9742651</v>
      </c>
      <c r="AA17" s="13" cm="1">
        <f t="array" ref="AA17">Z17-Z16</f>
        <v>367279</v>
      </c>
      <c r="AB17" s="14" cm="1">
        <f t="array" ref="AB17">AA17/Z16</f>
        <v>0.0391748722077375</v>
      </c>
    </row>
    <row r="18" ht="16.9" customHeight="1">
      <c r="A18" s="11">
        <v>202506</v>
      </c>
      <c r="B18" s="12">
        <v>521042</v>
      </c>
      <c r="C18" s="13">
        <v>44024</v>
      </c>
      <c r="D18" s="13">
        <v>0</v>
      </c>
      <c r="E18" s="13">
        <v>35258</v>
      </c>
      <c r="F18" s="13">
        <v>56640</v>
      </c>
      <c r="G18" s="13">
        <v>0</v>
      </c>
      <c r="H18" s="13">
        <v>1604968</v>
      </c>
      <c r="I18" s="13">
        <v>401609</v>
      </c>
      <c r="J18" s="13">
        <v>1350460</v>
      </c>
      <c r="K18" s="13">
        <v>1703369</v>
      </c>
      <c r="L18" s="13">
        <v>0</v>
      </c>
      <c r="M18" s="13">
        <v>0</v>
      </c>
      <c r="N18" s="13">
        <v>151453</v>
      </c>
      <c r="O18" s="13">
        <v>853832</v>
      </c>
      <c r="P18" s="13">
        <v>1181549</v>
      </c>
      <c r="Q18" s="13">
        <v>0</v>
      </c>
      <c r="R18" s="13">
        <v>1570576</v>
      </c>
      <c r="S18" s="13">
        <v>1435201</v>
      </c>
      <c r="T18" s="13">
        <v>0</v>
      </c>
      <c r="U18" s="13">
        <v>0</v>
      </c>
      <c r="V18" s="13">
        <v>516000</v>
      </c>
      <c r="W18" s="13" cm="1">
        <f t="array" ref="W18">V18</f>
        <v>516000</v>
      </c>
      <c r="X18" s="13" cm="1">
        <f t="array" ref="X18">SUM(B18:H18)</f>
        <v>2261932</v>
      </c>
      <c r="Y18" s="13" cm="1">
        <f t="array" ref="Y18">SUM(I18:V18)</f>
        <v>9164049</v>
      </c>
      <c r="Z18" s="13" cm="1">
        <f t="array" ref="Z18">X18+Y18</f>
        <v>11425981</v>
      </c>
      <c r="AA18" s="13" cm="1">
        <f t="array" ref="AA18">Z18-Z17</f>
        <v>1683330</v>
      </c>
      <c r="AB18" s="14" cm="1">
        <f t="array" ref="AB18">AA18/Z17</f>
        <v>0.172779462181289</v>
      </c>
    </row>
    <row r="19" ht="16.9" customHeight="1">
      <c r="A19" s="11">
        <v>202512</v>
      </c>
      <c r="B19" s="12">
        <v>316300</v>
      </c>
      <c r="C19" s="13">
        <v>109431</v>
      </c>
      <c r="D19" s="13">
        <v>0</v>
      </c>
      <c r="E19" s="13">
        <v>38822</v>
      </c>
      <c r="F19" s="13">
        <v>1883566</v>
      </c>
      <c r="G19" s="13">
        <v>0</v>
      </c>
      <c r="H19" s="13">
        <v>1735836</v>
      </c>
      <c r="I19" s="13">
        <v>459982</v>
      </c>
      <c r="J19" s="13">
        <v>1373599</v>
      </c>
      <c r="K19" s="13">
        <v>2055359</v>
      </c>
      <c r="L19" s="13">
        <v>0</v>
      </c>
      <c r="M19" s="13">
        <v>0</v>
      </c>
      <c r="N19" s="13">
        <v>137701</v>
      </c>
      <c r="O19" s="13">
        <v>903301</v>
      </c>
      <c r="P19" s="13">
        <v>1314165</v>
      </c>
      <c r="Q19" s="13">
        <v>0</v>
      </c>
      <c r="R19" s="13">
        <v>1334283</v>
      </c>
      <c r="S19" s="13">
        <v>1531182</v>
      </c>
      <c r="T19" s="13">
        <v>1657515</v>
      </c>
      <c r="U19" s="13">
        <v>0</v>
      </c>
      <c r="V19" s="13">
        <v>644500</v>
      </c>
      <c r="W19" s="13" cm="1">
        <f t="array" ref="W19">V19</f>
        <v>644500</v>
      </c>
      <c r="X19" s="13" cm="1">
        <f t="array" ref="X19">SUM(B19:H19)</f>
        <v>4083955</v>
      </c>
      <c r="Y19" s="13" cm="1">
        <f t="array" ref="Y19">SUM(I19:V19)</f>
        <v>11411587</v>
      </c>
      <c r="Z19" s="13" cm="1">
        <f t="array" ref="Z19">X19+Y19</f>
        <v>15495542</v>
      </c>
      <c r="AA19" s="13" cm="1">
        <f t="array" ref="AA19">Z19-Z18</f>
        <v>4069561</v>
      </c>
      <c r="AB19" s="14" cm="1">
        <f t="array" ref="AB19">AA19/Z18</f>
        <v>0.356167317274552</v>
      </c>
    </row>
    <row r="20" ht="16.9" customHeight="1">
      <c r="A20" s="11">
        <v>202604</v>
      </c>
      <c r="B20" s="12">
        <v>372089</v>
      </c>
      <c r="C20" s="13">
        <v>49777</v>
      </c>
      <c r="D20" s="13">
        <v>0</v>
      </c>
      <c r="E20" s="13">
        <v>40893</v>
      </c>
      <c r="F20" s="13">
        <v>1384454</v>
      </c>
      <c r="G20" s="13">
        <v>0</v>
      </c>
      <c r="H20" s="13">
        <v>1825354</v>
      </c>
      <c r="I20" s="13">
        <v>484914</v>
      </c>
      <c r="J20" s="13">
        <v>1517965</v>
      </c>
      <c r="K20" s="13">
        <v>2122277</v>
      </c>
      <c r="L20" s="13">
        <v>0</v>
      </c>
      <c r="M20" s="13">
        <v>0</v>
      </c>
      <c r="N20" s="13">
        <v>158132</v>
      </c>
      <c r="O20" s="13">
        <v>902711</v>
      </c>
      <c r="P20" s="13">
        <v>1868974</v>
      </c>
      <c r="Q20" s="13">
        <v>0</v>
      </c>
      <c r="R20" s="13">
        <v>1513480</v>
      </c>
      <c r="S20" s="13">
        <v>2262652</v>
      </c>
      <c r="T20" s="13">
        <v>1782638</v>
      </c>
      <c r="U20" s="13">
        <v>0</v>
      </c>
      <c r="V20" s="13">
        <v>804100</v>
      </c>
      <c r="W20" s="13" cm="1">
        <f t="array" ref="W20">V20</f>
        <v>804100</v>
      </c>
      <c r="X20" s="13" cm="1">
        <f t="array" ref="X20">SUM(B20:H20)</f>
        <v>3672567</v>
      </c>
      <c r="Y20" s="13" cm="1">
        <f t="array" ref="Y20">SUM(I20:V20)</f>
        <v>13417843</v>
      </c>
      <c r="Z20" s="13" cm="1">
        <f t="array" ref="Z20">X20+Y20</f>
        <v>17090410</v>
      </c>
      <c r="AA20" s="13" cm="1">
        <f t="array" ref="AA20">Z20-Z19</f>
        <v>1594868</v>
      </c>
      <c r="AB20" s="14" cm="1">
        <f t="array" ref="AB20">AA20/Z19</f>
        <v>0.102924312037617</v>
      </c>
    </row>
    <row r="21" ht="17.35" customHeight="1">
      <c r="A21" s="11">
        <v>202606</v>
      </c>
      <c r="B21" s="12">
        <v>487252</v>
      </c>
      <c r="C21" s="13">
        <v>84406</v>
      </c>
      <c r="D21" s="13">
        <v>18000</v>
      </c>
      <c r="E21" s="13">
        <v>11199</v>
      </c>
      <c r="F21" s="13">
        <v>1182813</v>
      </c>
      <c r="G21" s="13">
        <v>30000</v>
      </c>
      <c r="H21" s="13">
        <v>1830407</v>
      </c>
      <c r="I21" s="13">
        <v>495739</v>
      </c>
      <c r="J21" s="13">
        <v>1502375</v>
      </c>
      <c r="K21" s="13">
        <v>1188712</v>
      </c>
      <c r="L21" s="13">
        <v>171235</v>
      </c>
      <c r="M21" s="13">
        <v>916233</v>
      </c>
      <c r="N21" s="13">
        <v>134532</v>
      </c>
      <c r="O21" s="13">
        <v>917262</v>
      </c>
      <c r="P21" s="13">
        <v>1905966</v>
      </c>
      <c r="Q21" s="13">
        <v>442004</v>
      </c>
      <c r="R21" s="13">
        <v>1513480</v>
      </c>
      <c r="S21" s="13">
        <v>2262652</v>
      </c>
      <c r="T21" s="13">
        <v>1812939</v>
      </c>
      <c r="U21" s="13">
        <v>386253</v>
      </c>
      <c r="V21" s="13">
        <v>1760100</v>
      </c>
      <c r="W21" s="13" cm="1">
        <f t="array" ref="W21">V21</f>
        <v>1760100</v>
      </c>
      <c r="X21" s="13" cm="1">
        <f t="array" ref="X21">SUM(B21:H21)</f>
        <v>3644077</v>
      </c>
      <c r="Y21" s="13" cm="1">
        <f t="array" ref="Y21">SUM(I21:V21)</f>
        <v>15409482</v>
      </c>
      <c r="Z21" s="13" cm="1">
        <f t="array" ref="Z21">X21+Y21</f>
        <v>19053559</v>
      </c>
      <c r="AA21" s="13" cm="1">
        <f t="array" ref="AA21">Z21-Z20</f>
        <v>1963149</v>
      </c>
      <c r="AB21" s="14" cm="1">
        <f t="array" ref="AB21">AA21/Z20</f>
        <v>0.11486845546713</v>
      </c>
    </row>
    <row r="22" ht="22.9" customHeight="1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8"/>
    </row>
    <row r="23" ht="22.9" customHeight="1">
      <c r="A23" s="15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8"/>
    </row>
    <row r="24" ht="22.9" customHeight="1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8"/>
    </row>
    <row r="25" ht="22.9" customHeight="1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8"/>
    </row>
  </sheetData>
  <mergeCells count="8">
    <mergeCell ref="A1:AB1"/>
    <mergeCell ref="B2:H2"/>
    <mergeCell ref="I2:J2"/>
    <mergeCell ref="K2:M2"/>
    <mergeCell ref="O2:P2"/>
    <mergeCell ref="R2:S2"/>
    <mergeCell ref="T2:U2"/>
    <mergeCell ref="W2:AB2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